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28f11f6d6a2fd4/"/>
    </mc:Choice>
  </mc:AlternateContent>
  <xr:revisionPtr revIDLastSave="121" documentId="8_{9A3D5B05-2FD6-4202-B79D-C35289473205}" xr6:coauthVersionLast="47" xr6:coauthVersionMax="47" xr10:uidLastSave="{D81EA9D7-6A80-4B88-8738-29A1B4435FA4}"/>
  <bookViews>
    <workbookView xWindow="-120" yWindow="-120" windowWidth="29040" windowHeight="15720" xr2:uid="{050EF228-21C3-4B9E-8B5E-CE04C7414240}"/>
  </bookViews>
  <sheets>
    <sheet name="p&amp;l" sheetId="1" r:id="rId1"/>
    <sheet name="Invento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B10" i="1"/>
  <c r="D3" i="2"/>
  <c r="D4" i="2"/>
  <c r="D5" i="2"/>
  <c r="D6" i="2"/>
  <c r="D7" i="2"/>
  <c r="D8" i="2"/>
  <c r="D9" i="2"/>
  <c r="D10" i="2"/>
  <c r="D11" i="2"/>
  <c r="D12" i="2"/>
  <c r="D13" i="2"/>
  <c r="D14" i="2"/>
  <c r="D16" i="2" s="1"/>
  <c r="D15" i="2"/>
  <c r="D2" i="2"/>
  <c r="B9" i="1"/>
  <c r="B6" i="1"/>
  <c r="B8" i="1"/>
  <c r="B2" i="1"/>
</calcChain>
</file>

<file path=xl/sharedStrings.xml><?xml version="1.0" encoding="utf-8"?>
<sst xmlns="http://schemas.openxmlformats.org/spreadsheetml/2006/main" count="29" uniqueCount="29">
  <si>
    <t xml:space="preserve">Total Cost of Conatiner </t>
  </si>
  <si>
    <t>Type</t>
  </si>
  <si>
    <t>Capital Card</t>
  </si>
  <si>
    <t>Barkley</t>
  </si>
  <si>
    <t>Expense(Postage ,Other Expense)(Sterling)</t>
  </si>
  <si>
    <t>Vandey Account transfer(ebay)</t>
  </si>
  <si>
    <t>Buckchi Account transfer(ebay &amp; Amazon)</t>
  </si>
  <si>
    <t>India Expense</t>
  </si>
  <si>
    <t>2025-CNT2</t>
  </si>
  <si>
    <t>Total Money collected Till Jan 2026</t>
  </si>
  <si>
    <t>Spray gun 0007-202</t>
  </si>
  <si>
    <t>Pendent light black 0021=27</t>
  </si>
  <si>
    <t>Pendent light white 0022=3</t>
  </si>
  <si>
    <t>Work light 0016-69</t>
  </si>
  <si>
    <t>Torch light 0017-90</t>
  </si>
  <si>
    <t>Pendent light bulb 0023-265</t>
  </si>
  <si>
    <t>2 head light 0011-128</t>
  </si>
  <si>
    <t>Electric drill 0001-32</t>
  </si>
  <si>
    <t>Baby chair b 0019-42</t>
  </si>
  <si>
    <t>Baby chair P 0018- 23</t>
  </si>
  <si>
    <t>Sofa beige 0013-106</t>
  </si>
  <si>
    <t>Sofa blue 0015-2</t>
  </si>
  <si>
    <t>Pump =124</t>
  </si>
  <si>
    <t>Motion light 0012-65</t>
  </si>
  <si>
    <t>Total</t>
  </si>
  <si>
    <t>Total Cost of Item sold till Jan 2026</t>
  </si>
  <si>
    <t>Total Cost Tranfere in CNT1-2026</t>
  </si>
  <si>
    <t>Toal Profit /Loss</t>
  </si>
  <si>
    <t>Transfer to CNT1_2026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</si>
</sst>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026CC-471D-4061-BF75-ACB0F6932A53}">
  <dimension ref="A1:B13"/>
  <sheetViews>
    <sheetView tabSelected="1" workbookViewId="0">
      <selection activeCell="D19" sqref="D19"/>
    </sheetView>
  </sheetViews>
  <sheetFormatPr defaultRowHeight="15" x14ac:dyDescent="0.25"/>
  <cols>
    <col min="1" max="1" width="41.7109375" customWidth="1"/>
    <col min="2" max="2" width="15.7109375" style="1" customWidth="1"/>
  </cols>
  <sheetData>
    <row r="1" spans="1:2" x14ac:dyDescent="0.25">
      <c r="A1" s="5" t="s">
        <v>1</v>
      </c>
      <c r="B1" s="5" t="s">
        <v>8</v>
      </c>
    </row>
    <row r="2" spans="1:2" x14ac:dyDescent="0.25">
      <c r="A2" s="7" t="s">
        <v>0</v>
      </c>
      <c r="B2" s="3">
        <f>SUM(B3:B4)</f>
        <v>37802</v>
      </c>
    </row>
    <row r="3" spans="1:2" x14ac:dyDescent="0.25">
      <c r="A3" s="2" t="s">
        <v>2</v>
      </c>
      <c r="B3" s="4">
        <v>36012</v>
      </c>
    </row>
    <row r="4" spans="1:2" x14ac:dyDescent="0.25">
      <c r="A4" s="2" t="s">
        <v>3</v>
      </c>
      <c r="B4" s="4">
        <v>1790</v>
      </c>
    </row>
    <row r="5" spans="1:2" x14ac:dyDescent="0.25">
      <c r="A5" s="2" t="s">
        <v>4</v>
      </c>
      <c r="B5" s="4">
        <v>19854</v>
      </c>
    </row>
    <row r="6" spans="1:2" x14ac:dyDescent="0.25">
      <c r="A6" s="2" t="s">
        <v>7</v>
      </c>
      <c r="B6" s="4">
        <f>(60000)*8/115</f>
        <v>4173.913043478261</v>
      </c>
    </row>
    <row r="7" spans="1:2" x14ac:dyDescent="0.25">
      <c r="A7" s="2" t="s">
        <v>5</v>
      </c>
      <c r="B7" s="4">
        <v>21912</v>
      </c>
    </row>
    <row r="8" spans="1:2" x14ac:dyDescent="0.25">
      <c r="A8" s="2" t="s">
        <v>6</v>
      </c>
      <c r="B8" s="4">
        <f>28488-120</f>
        <v>28368</v>
      </c>
    </row>
    <row r="9" spans="1:2" x14ac:dyDescent="0.25">
      <c r="A9" s="7" t="s">
        <v>9</v>
      </c>
      <c r="B9" s="3">
        <f>(B7+B8)-(B6+B5)</f>
        <v>26252.08695652174</v>
      </c>
    </row>
    <row r="10" spans="1:2" x14ac:dyDescent="0.25">
      <c r="A10" s="7" t="s">
        <v>25</v>
      </c>
      <c r="B10" s="3">
        <f>B2-5893</f>
        <v>31909</v>
      </c>
    </row>
    <row r="11" spans="1:2" x14ac:dyDescent="0.25">
      <c r="A11" s="2" t="s">
        <v>26</v>
      </c>
      <c r="B11" s="3">
        <v>5893</v>
      </c>
    </row>
    <row r="12" spans="1:2" x14ac:dyDescent="0.25">
      <c r="A12" s="7" t="s">
        <v>27</v>
      </c>
      <c r="B12" s="3">
        <f>-5656</f>
        <v>-5656</v>
      </c>
    </row>
    <row r="13" spans="1:2" ht="18.75" x14ac:dyDescent="0.3">
      <c r="B1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CBA1-A563-4CA7-A055-08C1D947729F}">
  <dimension ref="A1:D16"/>
  <sheetViews>
    <sheetView workbookViewId="0">
      <selection activeCell="B25" sqref="B25"/>
    </sheetView>
  </sheetViews>
  <sheetFormatPr defaultRowHeight="15" x14ac:dyDescent="0.25"/>
  <cols>
    <col min="1" max="1" width="30.28515625" customWidth="1"/>
  </cols>
  <sheetData>
    <row r="1" spans="1:4" x14ac:dyDescent="0.25">
      <c r="A1" s="9" t="s">
        <v>28</v>
      </c>
      <c r="B1" s="9"/>
      <c r="C1" s="9"/>
      <c r="D1" s="9"/>
    </row>
    <row r="2" spans="1:4" x14ac:dyDescent="0.25">
      <c r="A2" t="s">
        <v>10</v>
      </c>
      <c r="B2" s="1">
        <v>202</v>
      </c>
      <c r="C2">
        <v>4.63</v>
      </c>
      <c r="D2">
        <f>B2*C2</f>
        <v>935.26</v>
      </c>
    </row>
    <row r="3" spans="1:4" x14ac:dyDescent="0.25">
      <c r="A3" t="s">
        <v>11</v>
      </c>
      <c r="B3" s="1">
        <v>27</v>
      </c>
      <c r="C3">
        <v>3.63</v>
      </c>
      <c r="D3">
        <f t="shared" ref="D3:D15" si="0">B3*C3</f>
        <v>98.009999999999991</v>
      </c>
    </row>
    <row r="4" spans="1:4" x14ac:dyDescent="0.25">
      <c r="A4" t="s">
        <v>12</v>
      </c>
      <c r="B4" s="1">
        <v>3</v>
      </c>
      <c r="C4">
        <v>3.63</v>
      </c>
      <c r="D4">
        <f t="shared" si="0"/>
        <v>10.89</v>
      </c>
    </row>
    <row r="5" spans="1:4" x14ac:dyDescent="0.25">
      <c r="A5" t="s">
        <v>13</v>
      </c>
      <c r="B5" s="1">
        <v>69</v>
      </c>
      <c r="C5">
        <v>12.43</v>
      </c>
      <c r="D5">
        <f t="shared" si="0"/>
        <v>857.67</v>
      </c>
    </row>
    <row r="6" spans="1:4" x14ac:dyDescent="0.25">
      <c r="A6" t="s">
        <v>14</v>
      </c>
      <c r="B6" s="1">
        <v>90</v>
      </c>
      <c r="C6">
        <v>9.85</v>
      </c>
      <c r="D6">
        <f t="shared" si="0"/>
        <v>886.5</v>
      </c>
    </row>
    <row r="7" spans="1:4" x14ac:dyDescent="0.25">
      <c r="A7" t="s">
        <v>15</v>
      </c>
      <c r="B7" s="1">
        <v>265</v>
      </c>
      <c r="C7">
        <v>0.82</v>
      </c>
      <c r="D7">
        <f t="shared" si="0"/>
        <v>217.29999999999998</v>
      </c>
    </row>
    <row r="8" spans="1:4" x14ac:dyDescent="0.25">
      <c r="A8" t="s">
        <v>16</v>
      </c>
      <c r="B8" s="1">
        <v>128</v>
      </c>
      <c r="C8">
        <v>8.23</v>
      </c>
      <c r="D8">
        <f t="shared" si="0"/>
        <v>1053.44</v>
      </c>
    </row>
    <row r="9" spans="1:4" x14ac:dyDescent="0.25">
      <c r="A9" t="s">
        <v>17</v>
      </c>
      <c r="B9" s="1">
        <v>32</v>
      </c>
      <c r="C9">
        <v>10.92</v>
      </c>
      <c r="D9">
        <f t="shared" si="0"/>
        <v>349.44</v>
      </c>
    </row>
    <row r="10" spans="1:4" x14ac:dyDescent="0.25">
      <c r="A10" t="s">
        <v>18</v>
      </c>
      <c r="B10" s="1">
        <v>42</v>
      </c>
      <c r="C10">
        <v>5.83</v>
      </c>
      <c r="D10">
        <f t="shared" si="0"/>
        <v>244.86</v>
      </c>
    </row>
    <row r="11" spans="1:4" x14ac:dyDescent="0.25">
      <c r="A11" t="s">
        <v>19</v>
      </c>
      <c r="B11" s="1">
        <v>23</v>
      </c>
      <c r="C11">
        <v>5.83</v>
      </c>
      <c r="D11">
        <f t="shared" si="0"/>
        <v>134.09</v>
      </c>
    </row>
    <row r="12" spans="1:4" x14ac:dyDescent="0.25">
      <c r="A12" t="s">
        <v>20</v>
      </c>
      <c r="B12" s="1">
        <v>106</v>
      </c>
      <c r="C12">
        <v>9.07</v>
      </c>
      <c r="D12">
        <f t="shared" si="0"/>
        <v>961.42000000000007</v>
      </c>
    </row>
    <row r="13" spans="1:4" x14ac:dyDescent="0.25">
      <c r="A13" t="s">
        <v>21</v>
      </c>
      <c r="B13" s="1">
        <v>2</v>
      </c>
      <c r="C13">
        <v>8.59</v>
      </c>
      <c r="D13">
        <f t="shared" si="0"/>
        <v>17.18</v>
      </c>
    </row>
    <row r="14" spans="1:4" x14ac:dyDescent="0.25">
      <c r="A14" t="s">
        <v>22</v>
      </c>
      <c r="B14" s="1">
        <v>124</v>
      </c>
      <c r="C14">
        <v>0</v>
      </c>
      <c r="D14">
        <f t="shared" si="0"/>
        <v>0</v>
      </c>
    </row>
    <row r="15" spans="1:4" x14ac:dyDescent="0.25">
      <c r="A15" t="s">
        <v>23</v>
      </c>
      <c r="B15" s="1">
        <v>65</v>
      </c>
      <c r="C15">
        <v>1.96</v>
      </c>
      <c r="D15">
        <f t="shared" si="0"/>
        <v>127.39999999999999</v>
      </c>
    </row>
    <row r="16" spans="1:4" x14ac:dyDescent="0.25">
      <c r="C16" s="6" t="s">
        <v>24</v>
      </c>
      <c r="D16">
        <f>SUM(D2:D15)</f>
        <v>5893.46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p&amp;l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sharma</dc:creator>
  <cp:lastModifiedBy>gaurav sharma</cp:lastModifiedBy>
  <dcterms:created xsi:type="dcterms:W3CDTF">2026-02-22T11:35:30Z</dcterms:created>
  <dcterms:modified xsi:type="dcterms:W3CDTF">2026-02-22T13:50:43Z</dcterms:modified>
</cp:coreProperties>
</file>